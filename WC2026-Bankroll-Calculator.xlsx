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roll Calculator" sheetId="1" state="visible" r:id="rId1"/>
    <sheet xmlns:r="http://schemas.openxmlformats.org/officeDocument/2006/relationships" name="Bet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£#,##0.00;[Red]-£#,##0.00"/>
  </numFmts>
  <fonts count="11">
    <font>
      <name val="Calibri"/>
      <family val="2"/>
      <color theme="1"/>
      <sz val="11"/>
      <scheme val="minor"/>
    </font>
    <font>
      <name val="Calibri"/>
      <b val="1"/>
      <color rgb="0000ff88"/>
      <sz val="14"/>
    </font>
    <font>
      <name val="Calibri"/>
      <color rgb="00888899"/>
      <sz val="9"/>
    </font>
    <font>
      <name val="Calibri"/>
      <b val="1"/>
      <color rgb="00ffd700"/>
      <sz val="11"/>
    </font>
    <font>
      <name val="Calibri"/>
      <color rgb="00e8e8f0"/>
      <sz val="10"/>
    </font>
    <font>
      <name val="Calibri"/>
      <b val="1"/>
      <color rgb="0000ff88"/>
      <sz val="12"/>
    </font>
    <font>
      <name val="Calibri"/>
      <b val="1"/>
      <color rgb="00ffd700"/>
      <sz val="12"/>
    </font>
    <font>
      <name val="Calibri"/>
      <b val="1"/>
      <color rgb="000a0a0f"/>
      <sz val="11"/>
    </font>
    <font>
      <name val="Calibri"/>
      <b val="1"/>
      <color rgb="0000ff88"/>
    </font>
    <font>
      <name val="Calibri"/>
      <color rgb="00ffd700"/>
    </font>
    <font>
      <name val="Calibri"/>
      <b val="1"/>
      <color rgb="00ff4455"/>
      <sz val="10"/>
    </font>
  </fonts>
  <fills count="7">
    <fill>
      <patternFill/>
    </fill>
    <fill>
      <patternFill patternType="gray125"/>
    </fill>
    <fill>
      <patternFill patternType="solid">
        <fgColor rgb="000a0a0f"/>
      </patternFill>
    </fill>
    <fill>
      <patternFill patternType="solid">
        <fgColor rgb="00111118"/>
      </patternFill>
    </fill>
    <fill>
      <patternFill patternType="solid">
        <fgColor rgb="001a1a28"/>
      </patternFill>
    </fill>
    <fill>
      <patternFill patternType="solid">
        <fgColor rgb="0000ff88"/>
      </patternFill>
    </fill>
    <fill>
      <patternFill patternType="solid">
        <fgColor rgb="001616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/>
    </xf>
    <xf numFmtId="10" fontId="5" fillId="4" borderId="0" applyAlignment="1" pivotButton="0" quotePrefix="0" xfId="0">
      <alignment horizontal="center"/>
    </xf>
    <xf numFmtId="164" fontId="6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165" fontId="5" fillId="6" borderId="0" applyAlignment="1" pivotButton="0" quotePrefix="0" xfId="0">
      <alignment horizontal="center"/>
    </xf>
    <xf numFmtId="164" fontId="3" fillId="6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165" fontId="5" fillId="3" borderId="0" applyAlignment="1" pivotButton="0" quotePrefix="0" xfId="0">
      <alignment horizontal="center"/>
    </xf>
    <xf numFmtId="164" fontId="3" fillId="3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  <xf numFmtId="165" fontId="1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4" customWidth="1" min="3" max="3"/>
    <col width="38" customWidth="1" min="4" max="4"/>
  </cols>
  <sheetData>
    <row r="1">
      <c r="A1" s="1" t="inlineStr">
        <is>
          <t>⚽ WC 2026 BANKROLL MANAGEMENT CALCULATOR</t>
        </is>
      </c>
    </row>
    <row r="2">
      <c r="A2" s="2" t="inlineStr">
        <is>
          <t>wc2026-sports-empire.vercel.app</t>
        </is>
      </c>
    </row>
    <row r="4">
      <c r="A4" s="3" t="inlineStr">
        <is>
          <t>⚙ YOUR SETTINGS</t>
        </is>
      </c>
    </row>
    <row r="5">
      <c r="A5" s="4" t="inlineStr">
        <is>
          <t>Starting Bankroll (£)</t>
        </is>
      </c>
      <c r="B5" s="5" t="n">
        <v>500</v>
      </c>
      <c r="D5" s="2" t="inlineStr">
        <is>
          <t>Enter your starting bankroll in B5</t>
        </is>
      </c>
    </row>
    <row r="6">
      <c r="A6" s="4" t="inlineStr">
        <is>
          <t>Standard Stake %</t>
        </is>
      </c>
      <c r="B6" s="6" t="n">
        <v>0.02</v>
      </c>
      <c r="D6" s="2" t="inlineStr">
        <is>
          <t>2% recommended (change in B6)</t>
        </is>
      </c>
    </row>
    <row r="7">
      <c r="A7" s="4" t="inlineStr">
        <is>
          <t>High Confidence Stake %</t>
        </is>
      </c>
      <c r="B7" s="6" t="n">
        <v>0.03</v>
      </c>
      <c r="D7" s="2" t="inlineStr">
        <is>
          <t>For 80%+ confidence bets</t>
        </is>
      </c>
    </row>
    <row r="8">
      <c r="A8" s="4" t="inlineStr">
        <is>
          <t>Max Single Bet %</t>
        </is>
      </c>
      <c r="B8" s="6" t="n">
        <v>0.05</v>
      </c>
      <c r="D8" s="2" t="inlineStr">
        <is>
          <t>Never exceed this</t>
        </is>
      </c>
    </row>
    <row r="9">
      <c r="A9" s="4" t="inlineStr">
        <is>
          <t>Stop Loss (% of bankroll)</t>
        </is>
      </c>
      <c r="B9" s="6" t="n">
        <v>0.2</v>
      </c>
      <c r="D9" s="2" t="inlineStr">
        <is>
          <t>Stop if you lose 20%</t>
        </is>
      </c>
    </row>
    <row r="10">
      <c r="A10" s="4" t="inlineStr">
        <is>
          <t>Daily bet limit</t>
        </is>
      </c>
      <c r="B10" s="5" t="n">
        <v>5</v>
      </c>
      <c r="D10" s="2" t="inlineStr">
        <is>
          <t>Max bets per day</t>
        </is>
      </c>
    </row>
    <row r="12">
      <c r="A12" s="3" t="inlineStr">
        <is>
          <t>🎯 KELLY CRITERION CALCULATOR</t>
        </is>
      </c>
    </row>
    <row r="13">
      <c r="A13" s="4" t="inlineStr">
        <is>
          <t>Your estimated win probability (%)</t>
        </is>
      </c>
      <c r="B13" s="5" t="n">
        <v>0.55</v>
      </c>
      <c r="D13" s="2" t="inlineStr">
        <is>
          <t>Enter as decimal e.g. 0.55 = 55%</t>
        </is>
      </c>
    </row>
    <row r="14">
      <c r="A14" s="4" t="inlineStr">
        <is>
          <t>Decimal odds offered</t>
        </is>
      </c>
      <c r="B14" s="5" t="n">
        <v>2.1</v>
      </c>
      <c r="D14" s="2" t="inlineStr">
        <is>
          <t>e.g. 2.10</t>
        </is>
      </c>
    </row>
    <row r="15">
      <c r="A15" s="4" t="inlineStr">
        <is>
          <t>Full Kelly stake %</t>
        </is>
      </c>
      <c r="B15" s="6">
        <f>(B13*(B14-1)-(1-B13))/(B14-1)</f>
        <v/>
      </c>
      <c r="D15" s="2" t="inlineStr">
        <is>
          <t>Auto-calculated</t>
        </is>
      </c>
    </row>
    <row r="16">
      <c r="A16" s="4" t="inlineStr">
        <is>
          <t>Half Kelly stake % (recommended)</t>
        </is>
      </c>
      <c r="B16" s="6">
        <f>B15/2</f>
        <v/>
      </c>
      <c r="D16" s="2" t="inlineStr">
        <is>
          <t>Safer variant</t>
        </is>
      </c>
    </row>
    <row r="17">
      <c r="A17" s="4" t="inlineStr">
        <is>
          <t>Stake amount (£)</t>
        </is>
      </c>
      <c r="B17" s="7">
        <f>B5*B16</f>
        <v/>
      </c>
      <c r="D17" s="2" t="inlineStr">
        <is>
          <t>Based on your bankroll above</t>
        </is>
      </c>
    </row>
  </sheetData>
  <mergeCells count="4">
    <mergeCell ref="A2:E2"/>
    <mergeCell ref="A1:E1"/>
    <mergeCell ref="A4:E4"/>
    <mergeCell ref="A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8" customWidth="1" min="4" max="4"/>
    <col width="7" customWidth="1" min="5" max="5"/>
    <col width="10" customWidth="1" min="6" max="6"/>
    <col width="10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📊 BET TRACKER — WC 2026</t>
        </is>
      </c>
    </row>
    <row r="3">
      <c r="A3" s="8" t="inlineStr">
        <is>
          <t>Date</t>
        </is>
      </c>
      <c r="B3" s="8" t="inlineStr">
        <is>
          <t>Match</t>
        </is>
      </c>
      <c r="C3" s="8" t="inlineStr">
        <is>
          <t>Bet Type</t>
        </is>
      </c>
      <c r="D3" s="8" t="inlineStr">
        <is>
          <t>Selection</t>
        </is>
      </c>
      <c r="E3" s="8" t="inlineStr">
        <is>
          <t>Odds</t>
        </is>
      </c>
      <c r="F3" s="8" t="inlineStr">
        <is>
          <t>Stake (£)</t>
        </is>
      </c>
      <c r="G3" s="8" t="inlineStr">
        <is>
          <t>Result</t>
        </is>
      </c>
      <c r="H3" s="8" t="inlineStr">
        <is>
          <t>P&amp;L (£)</t>
        </is>
      </c>
      <c r="I3" s="8" t="inlineStr">
        <is>
          <t>Running Bank (£)</t>
        </is>
      </c>
      <c r="J3" s="8" t="inlineStr">
        <is>
          <t>Confidence %</t>
        </is>
      </c>
    </row>
    <row r="4">
      <c r="I4" t="n">
        <v>500</v>
      </c>
    </row>
    <row r="5">
      <c r="A5" s="9" t="inlineStr">
        <is>
          <t>Jun 11</t>
        </is>
      </c>
      <c r="B5" s="9" t="inlineStr">
        <is>
          <t>Brazil vs Serbia</t>
        </is>
      </c>
      <c r="C5" s="9" t="inlineStr">
        <is>
          <t>AH</t>
        </is>
      </c>
      <c r="D5" s="9" t="inlineStr">
        <is>
          <t>Brazil -1.5</t>
        </is>
      </c>
      <c r="E5" s="9" t="n">
        <v>1.9</v>
      </c>
      <c r="F5" s="9" t="n">
        <v>10</v>
      </c>
      <c r="G5" s="10" t="inlineStr">
        <is>
          <t>WON</t>
        </is>
      </c>
      <c r="H5" s="11" t="n">
        <v>9</v>
      </c>
      <c r="I5" s="12">
        <f>I5+H5</f>
        <v/>
      </c>
      <c r="J5" s="9" t="inlineStr">
        <is>
          <t>74%</t>
        </is>
      </c>
    </row>
    <row r="6">
      <c r="A6" s="13" t="inlineStr">
        <is>
          <t>Jun 12</t>
        </is>
      </c>
      <c r="B6" s="13" t="inlineStr">
        <is>
          <t>France vs Australia</t>
        </is>
      </c>
      <c r="C6" s="13" t="inlineStr">
        <is>
          <t>ML</t>
        </is>
      </c>
      <c r="D6" s="13" t="inlineStr">
        <is>
          <t>France Win</t>
        </is>
      </c>
      <c r="E6" s="13" t="n">
        <v>1.45</v>
      </c>
      <c r="F6" s="13" t="n">
        <v>15</v>
      </c>
      <c r="G6" s="14" t="inlineStr">
        <is>
          <t>WON</t>
        </is>
      </c>
      <c r="H6" s="15" t="n">
        <v>6.75</v>
      </c>
      <c r="I6" s="16">
        <f>I6+H6</f>
        <v/>
      </c>
      <c r="J6" s="13" t="inlineStr">
        <is>
          <t>81%</t>
        </is>
      </c>
    </row>
    <row r="7">
      <c r="A7" s="9" t="inlineStr">
        <is>
          <t>Jun 14</t>
        </is>
      </c>
      <c r="B7" s="9" t="inlineStr">
        <is>
          <t>Germany vs Japan</t>
        </is>
      </c>
      <c r="C7" s="9" t="inlineStr">
        <is>
          <t>O/U</t>
        </is>
      </c>
      <c r="D7" s="9" t="inlineStr">
        <is>
          <t>Over 2.5</t>
        </is>
      </c>
      <c r="E7" s="9" t="n">
        <v>1.72</v>
      </c>
      <c r="F7" s="9" t="n">
        <v>10</v>
      </c>
      <c r="G7" s="10" t="inlineStr">
        <is>
          <t>WON</t>
        </is>
      </c>
      <c r="H7" s="11" t="n">
        <v>7.2</v>
      </c>
      <c r="I7" s="12">
        <f>I7+H7</f>
        <v/>
      </c>
      <c r="J7" s="9" t="inlineStr">
        <is>
          <t>68%</t>
        </is>
      </c>
    </row>
    <row r="8">
      <c r="A8" s="13" t="inlineStr">
        <is>
          <t>Jun 14</t>
        </is>
      </c>
      <c r="B8" s="13" t="inlineStr">
        <is>
          <t>Spain vs Nigeria</t>
        </is>
      </c>
      <c r="C8" s="13" t="inlineStr">
        <is>
          <t>AH</t>
        </is>
      </c>
      <c r="D8" s="13" t="inlineStr">
        <is>
          <t>Spain -1</t>
        </is>
      </c>
      <c r="E8" s="13" t="n">
        <v>1.88</v>
      </c>
      <c r="F8" s="13" t="n">
        <v>12</v>
      </c>
      <c r="G8" s="14" t="inlineStr">
        <is>
          <t>WON</t>
        </is>
      </c>
      <c r="H8" s="15" t="n">
        <v>10.56</v>
      </c>
      <c r="I8" s="16">
        <f>I8+H8</f>
        <v/>
      </c>
      <c r="J8" s="13" t="inlineStr">
        <is>
          <t>78%</t>
        </is>
      </c>
    </row>
    <row r="9">
      <c r="A9" s="9" t="inlineStr">
        <is>
          <t>Jun 17</t>
        </is>
      </c>
      <c r="B9" s="9" t="inlineStr">
        <is>
          <t>England vs Colombia</t>
        </is>
      </c>
      <c r="C9" s="9" t="inlineStr">
        <is>
          <t>ML</t>
        </is>
      </c>
      <c r="D9" s="9" t="inlineStr">
        <is>
          <t>England Win</t>
        </is>
      </c>
      <c r="E9" s="9" t="n">
        <v>1.62</v>
      </c>
      <c r="F9" s="9" t="n">
        <v>10</v>
      </c>
      <c r="G9" s="17" t="inlineStr">
        <is>
          <t>PENDING</t>
        </is>
      </c>
      <c r="H9" s="18" t="n">
        <v>0</v>
      </c>
      <c r="I9" s="12">
        <f>I9+H9</f>
        <v/>
      </c>
      <c r="J9" s="9" t="inlineStr">
        <is>
          <t>66%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2026-06-17T06:33:18Z</dcterms:created>
  <dcterms:modified xmlns:dcterms="http://purl.org/dc/terms/" xmlns:xsi="http://www.w3.org/2001/XMLSchema-instance" xsi:type="dcterms:W3CDTF">2026-06-17T06:33:18Z</dcterms:modified>
</cp:coreProperties>
</file>